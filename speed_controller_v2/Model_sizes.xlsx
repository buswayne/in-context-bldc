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9340\Documents\GitHub\in-context-bldc\speed_controller_v2\"/>
    </mc:Choice>
  </mc:AlternateContent>
  <xr:revisionPtr revIDLastSave="0" documentId="13_ncr:1_{1C68566B-498A-4151-B542-5772D9C5A3FD}" xr6:coauthVersionLast="47" xr6:coauthVersionMax="47" xr10:uidLastSave="{00000000-0000-0000-0000-000000000000}"/>
  <bookViews>
    <workbookView xWindow="-108" yWindow="-108" windowWidth="23256" windowHeight="12456" xr2:uid="{08DF7A68-1884-4496-8E19-ADC00F2DDF2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J13" i="1"/>
  <c r="I13" i="1"/>
  <c r="I12" i="1"/>
  <c r="I11" i="1"/>
  <c r="J10" i="1"/>
  <c r="I10" i="1"/>
  <c r="I9" i="1"/>
  <c r="J8" i="1"/>
  <c r="I8" i="1"/>
  <c r="J7" i="1"/>
  <c r="I7" i="1"/>
  <c r="J6" i="1"/>
  <c r="I6" i="1"/>
  <c r="F8" i="1"/>
  <c r="F10" i="1"/>
  <c r="F6" i="1"/>
  <c r="E6" i="1"/>
  <c r="E7" i="1"/>
  <c r="E8" i="1"/>
  <c r="E9" i="1"/>
  <c r="E11" i="1"/>
  <c r="E12" i="1"/>
  <c r="E13" i="1"/>
  <c r="E10" i="1"/>
  <c r="H7" i="1"/>
  <c r="H8" i="1"/>
  <c r="H9" i="1"/>
  <c r="J9" i="1" s="1"/>
  <c r="H10" i="1"/>
  <c r="H11" i="1"/>
  <c r="J11" i="1" s="1"/>
  <c r="H12" i="1"/>
  <c r="J12" i="1" s="1"/>
  <c r="H13" i="1"/>
  <c r="D6" i="1"/>
  <c r="D7" i="1"/>
  <c r="F7" i="1" s="1"/>
  <c r="D8" i="1"/>
  <c r="D9" i="1"/>
  <c r="F9" i="1" s="1"/>
  <c r="D10" i="1"/>
  <c r="D11" i="1"/>
  <c r="F11" i="1" s="1"/>
  <c r="D12" i="1"/>
  <c r="F12" i="1" s="1"/>
  <c r="D13" i="1"/>
  <c r="F13" i="1" s="1"/>
  <c r="H5" i="1"/>
  <c r="D5" i="1"/>
</calcChain>
</file>

<file path=xl/sharedStrings.xml><?xml version="1.0" encoding="utf-8"?>
<sst xmlns="http://schemas.openxmlformats.org/spreadsheetml/2006/main" count="19" uniqueCount="19">
  <si>
    <t>baseline</t>
  </si>
  <si>
    <t>Flash</t>
  </si>
  <si>
    <t>l2e32</t>
  </si>
  <si>
    <t>l1e32</t>
  </si>
  <si>
    <t>l2e16</t>
  </si>
  <si>
    <t>l1e16</t>
  </si>
  <si>
    <t>l1e12</t>
  </si>
  <si>
    <t>l1e8</t>
  </si>
  <si>
    <t>l1e4</t>
  </si>
  <si>
    <t>l1e2</t>
  </si>
  <si>
    <t>full RAM</t>
  </si>
  <si>
    <t>full Flash</t>
  </si>
  <si>
    <t>RAM%</t>
  </si>
  <si>
    <t>RAM</t>
  </si>
  <si>
    <t>Flash%</t>
  </si>
  <si>
    <t>RAM model</t>
  </si>
  <si>
    <t>Flash model</t>
  </si>
  <si>
    <t>RAM% m</t>
  </si>
  <si>
    <t>Flash %m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</si>
</sst>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A2908-4CAD-4435-B11E-13879C9A8798}">
  <dimension ref="B1:L20"/>
  <sheetViews>
    <sheetView tabSelected="1" workbookViewId="0">
      <selection activeCell="L20" sqref="L20"/>
    </sheetView>
  </sheetViews>
  <sheetFormatPr defaultRowHeight="14.4" x14ac:dyDescent="0.3"/>
  <cols>
    <col min="5" max="5" width="10" bestFit="1" customWidth="1"/>
    <col min="8" max="9" width="10.6640625" bestFit="1" customWidth="1"/>
  </cols>
  <sheetData>
    <row r="1" spans="2:10" x14ac:dyDescent="0.3">
      <c r="B1" t="s">
        <v>10</v>
      </c>
      <c r="C1">
        <v>32</v>
      </c>
    </row>
    <row r="2" spans="2:10" x14ac:dyDescent="0.3">
      <c r="B2" t="s">
        <v>11</v>
      </c>
      <c r="C2">
        <v>128</v>
      </c>
    </row>
    <row r="4" spans="2:10" x14ac:dyDescent="0.3">
      <c r="C4" t="s">
        <v>13</v>
      </c>
      <c r="D4" t="s">
        <v>12</v>
      </c>
      <c r="E4" t="s">
        <v>15</v>
      </c>
      <c r="F4" t="s">
        <v>17</v>
      </c>
      <c r="G4" t="s">
        <v>1</v>
      </c>
      <c r="H4" t="s">
        <v>14</v>
      </c>
      <c r="I4" t="s">
        <v>16</v>
      </c>
      <c r="J4" t="s">
        <v>18</v>
      </c>
    </row>
    <row r="5" spans="2:10" x14ac:dyDescent="0.3">
      <c r="B5" t="s">
        <v>0</v>
      </c>
      <c r="C5" s="1">
        <v>9.83</v>
      </c>
      <c r="D5" s="1">
        <f>C5/$C$1*100</f>
        <v>30.71875</v>
      </c>
      <c r="E5" s="1"/>
      <c r="F5" s="1"/>
      <c r="G5" s="1">
        <v>51.62</v>
      </c>
      <c r="H5" s="1">
        <f>G5/$C$2*100</f>
        <v>40.328125</v>
      </c>
      <c r="I5" s="1"/>
      <c r="J5" s="1"/>
    </row>
    <row r="6" spans="2:10" x14ac:dyDescent="0.3">
      <c r="B6" t="s">
        <v>2</v>
      </c>
      <c r="C6" s="1">
        <v>24.36</v>
      </c>
      <c r="D6" s="1">
        <f t="shared" ref="D6:D13" si="0">C6/$C$1*100</f>
        <v>76.125</v>
      </c>
      <c r="E6" s="1">
        <f t="shared" ref="E6:F13" si="1">C6-C$5</f>
        <v>14.53</v>
      </c>
      <c r="F6" s="1">
        <f t="shared" si="1"/>
        <v>45.40625</v>
      </c>
      <c r="G6" s="1">
        <v>156.1</v>
      </c>
      <c r="H6" s="1">
        <f t="shared" ref="H6:H13" si="2">G6/$C$2*100</f>
        <v>121.953125</v>
      </c>
      <c r="I6" s="1">
        <f t="shared" ref="I6:I13" si="3">G6-G$5</f>
        <v>104.47999999999999</v>
      </c>
      <c r="J6" s="1">
        <f t="shared" ref="J6:J13" si="4">H6-H$5</f>
        <v>81.625</v>
      </c>
    </row>
    <row r="7" spans="2:10" x14ac:dyDescent="0.3">
      <c r="B7" t="s">
        <v>3</v>
      </c>
      <c r="C7" s="1">
        <v>24.36</v>
      </c>
      <c r="D7" s="1">
        <f t="shared" si="0"/>
        <v>76.125</v>
      </c>
      <c r="E7" s="1">
        <f t="shared" si="1"/>
        <v>14.53</v>
      </c>
      <c r="F7" s="1">
        <f t="shared" si="1"/>
        <v>45.40625</v>
      </c>
      <c r="G7" s="1">
        <v>106.26</v>
      </c>
      <c r="H7" s="1">
        <f t="shared" si="2"/>
        <v>83.015625</v>
      </c>
      <c r="I7" s="1">
        <f t="shared" si="3"/>
        <v>54.640000000000008</v>
      </c>
      <c r="J7" s="1">
        <f t="shared" si="4"/>
        <v>42.6875</v>
      </c>
    </row>
    <row r="8" spans="2:10" x14ac:dyDescent="0.3">
      <c r="B8" t="s">
        <v>4</v>
      </c>
      <c r="C8" s="1">
        <v>17.48</v>
      </c>
      <c r="D8" s="1">
        <f t="shared" si="0"/>
        <v>54.625</v>
      </c>
      <c r="E8" s="1">
        <f t="shared" si="1"/>
        <v>7.65</v>
      </c>
      <c r="F8" s="1">
        <f t="shared" si="1"/>
        <v>23.90625</v>
      </c>
      <c r="G8" s="1">
        <v>84.77</v>
      </c>
      <c r="H8" s="1">
        <f t="shared" si="2"/>
        <v>66.2265625</v>
      </c>
      <c r="I8" s="1">
        <f t="shared" si="3"/>
        <v>33.15</v>
      </c>
      <c r="J8" s="1">
        <f t="shared" si="4"/>
        <v>25.8984375</v>
      </c>
    </row>
    <row r="9" spans="2:10" x14ac:dyDescent="0.3">
      <c r="B9" t="s">
        <v>5</v>
      </c>
      <c r="C9" s="1">
        <v>17.48</v>
      </c>
      <c r="D9" s="1">
        <f t="shared" si="0"/>
        <v>54.625</v>
      </c>
      <c r="E9" s="1">
        <f t="shared" si="1"/>
        <v>7.65</v>
      </c>
      <c r="F9" s="1">
        <f t="shared" si="1"/>
        <v>23.90625</v>
      </c>
      <c r="G9" s="1">
        <v>70.489999999999995</v>
      </c>
      <c r="H9" s="1">
        <f t="shared" si="2"/>
        <v>55.070312499999993</v>
      </c>
      <c r="I9" s="1">
        <f t="shared" si="3"/>
        <v>18.869999999999997</v>
      </c>
      <c r="J9" s="1">
        <f t="shared" si="4"/>
        <v>14.742187499999993</v>
      </c>
    </row>
    <row r="10" spans="2:10" x14ac:dyDescent="0.3">
      <c r="B10" t="s">
        <v>6</v>
      </c>
      <c r="C10" s="1">
        <v>15.77</v>
      </c>
      <c r="D10" s="1">
        <f t="shared" si="0"/>
        <v>49.28125</v>
      </c>
      <c r="E10" s="1">
        <f>C10-C$5</f>
        <v>5.9399999999999995</v>
      </c>
      <c r="F10" s="1">
        <f t="shared" si="1"/>
        <v>18.5625</v>
      </c>
      <c r="G10" s="1">
        <v>64.31</v>
      </c>
      <c r="H10" s="1">
        <f t="shared" si="2"/>
        <v>50.2421875</v>
      </c>
      <c r="I10" s="1">
        <f>G10-G$5</f>
        <v>12.690000000000005</v>
      </c>
      <c r="J10" s="1">
        <f t="shared" si="4"/>
        <v>9.9140625</v>
      </c>
    </row>
    <row r="11" spans="2:10" x14ac:dyDescent="0.3">
      <c r="B11" t="s">
        <v>7</v>
      </c>
      <c r="C11" s="1">
        <v>14.05</v>
      </c>
      <c r="D11" s="1">
        <f t="shared" si="0"/>
        <v>43.90625</v>
      </c>
      <c r="E11" s="1">
        <f t="shared" ref="E11:E13" si="5">C11-C$5</f>
        <v>4.2200000000000006</v>
      </c>
      <c r="F11" s="1">
        <f t="shared" si="1"/>
        <v>13.1875</v>
      </c>
      <c r="G11" s="1">
        <v>60.37</v>
      </c>
      <c r="H11" s="1">
        <f t="shared" si="2"/>
        <v>47.1640625</v>
      </c>
      <c r="I11" s="1">
        <f t="shared" ref="I11:I13" si="6">G11-G$5</f>
        <v>8.75</v>
      </c>
      <c r="J11" s="1">
        <f t="shared" si="4"/>
        <v>6.8359375</v>
      </c>
    </row>
    <row r="12" spans="2:10" x14ac:dyDescent="0.3">
      <c r="B12" t="s">
        <v>8</v>
      </c>
      <c r="C12" s="1">
        <v>12.33</v>
      </c>
      <c r="D12" s="1">
        <f t="shared" si="0"/>
        <v>38.53125</v>
      </c>
      <c r="E12" s="1">
        <f t="shared" si="5"/>
        <v>2.5</v>
      </c>
      <c r="F12" s="1">
        <f t="shared" si="1"/>
        <v>7.8125</v>
      </c>
      <c r="G12" s="1">
        <v>58.34</v>
      </c>
      <c r="H12" s="1">
        <f t="shared" si="2"/>
        <v>45.578125</v>
      </c>
      <c r="I12" s="1">
        <f t="shared" si="6"/>
        <v>6.720000000000006</v>
      </c>
      <c r="J12" s="1">
        <f t="shared" si="4"/>
        <v>5.25</v>
      </c>
    </row>
    <row r="13" spans="2:10" x14ac:dyDescent="0.3">
      <c r="B13" t="s">
        <v>9</v>
      </c>
      <c r="C13" s="1">
        <v>11.47</v>
      </c>
      <c r="D13" s="1">
        <f t="shared" si="0"/>
        <v>35.84375</v>
      </c>
      <c r="E13" s="1">
        <f t="shared" si="5"/>
        <v>1.6400000000000006</v>
      </c>
      <c r="F13" s="1">
        <f t="shared" si="1"/>
        <v>5.125</v>
      </c>
      <c r="G13" s="1">
        <v>58.43</v>
      </c>
      <c r="H13" s="1">
        <f t="shared" si="2"/>
        <v>45.6484375</v>
      </c>
      <c r="I13" s="1">
        <f t="shared" si="6"/>
        <v>6.8100000000000023</v>
      </c>
      <c r="J13" s="1">
        <f t="shared" si="4"/>
        <v>5.3203125</v>
      </c>
    </row>
    <row r="20" spans="12:12" x14ac:dyDescent="0.3">
      <c r="L20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Colombo</dc:creator>
  <cp:lastModifiedBy>Alessandro Colombo</cp:lastModifiedBy>
  <dcterms:created xsi:type="dcterms:W3CDTF">2026-04-08T12:24:07Z</dcterms:created>
  <dcterms:modified xsi:type="dcterms:W3CDTF">2026-04-08T16:05:59Z</dcterms:modified>
</cp:coreProperties>
</file>